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SSIVA" sheetId="1" state="visible" r:id="rId1"/>
    <sheet xmlns:r="http://schemas.openxmlformats.org/officeDocument/2006/relationships" name="MODERADA" sheetId="2" state="visible" r:id="rId2"/>
    <sheet xmlns:r="http://schemas.openxmlformats.org/officeDocument/2006/relationships" name="CONSERVAD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</font>
    <font>
      <b val="1"/>
      <color rgb="00FFFFFF"/>
      <sz val="12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FFEB3B"/>
        <bgColor rgb="00FFEB3B"/>
      </patternFill>
    </fill>
    <fill>
      <patternFill patternType="solid">
        <fgColor rgb="00424242"/>
        <bgColor rgb="00424242"/>
      </patternFill>
    </fill>
    <fill>
      <patternFill patternType="solid">
        <fgColor rgb="00FF9800"/>
        <bgColor rgb="00FF9800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4" borderId="0" pivotButton="0" quotePrefix="0" xfId="0"/>
    <xf numFmtId="0" fontId="6" fillId="5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1" t="inlineStr">
        <is>
          <t>📊 CARTEIRA AGRESSIVA - OUTUBRO/2025</t>
        </is>
      </c>
    </row>
    <row r="3">
      <c r="A3" s="2" t="inlineStr">
        <is>
          <t>Perfil: Alta exposição a ações (46.67%)</t>
        </is>
      </c>
    </row>
    <row r="4">
      <c r="A4" s="3" t="inlineStr">
        <is>
          <t>Risco: Alto | Retorno Esperado: 15-25% ao ano</t>
        </is>
      </c>
    </row>
    <row r="6">
      <c r="A6" s="4" t="inlineStr">
        <is>
          <t>💰 VALOR TOTAL A INVESTIR (R$):</t>
        </is>
      </c>
      <c r="B6" s="5" t="n">
        <v>20000</v>
      </c>
    </row>
    <row r="8">
      <c r="A8" s="6" t="inlineStr">
        <is>
          <t>Ticker</t>
        </is>
      </c>
      <c r="B8" s="6" t="inlineStr">
        <is>
          <t>Nome</t>
        </is>
      </c>
      <c r="C8" s="6" t="inlineStr">
        <is>
          <t>Setor</t>
        </is>
      </c>
      <c r="D8" s="6" t="inlineStr">
        <is>
          <t>Alocação %</t>
        </is>
      </c>
      <c r="E8" s="6" t="inlineStr">
        <is>
          <t>Valor (R$)</t>
        </is>
      </c>
      <c r="F8" s="6" t="inlineStr">
        <is>
          <t>Preço (R$)</t>
        </is>
      </c>
      <c r="G8" s="6" t="inlineStr">
        <is>
          <t>Qtd Aprox</t>
        </is>
      </c>
    </row>
    <row r="9">
      <c r="A9" t="inlineStr">
        <is>
          <t>IVVB11</t>
        </is>
      </c>
      <c r="B9" t="inlineStr">
        <is>
          <t>iShares S&amp;P 500</t>
        </is>
      </c>
      <c r="C9" t="inlineStr">
        <is>
          <t>Internacional</t>
        </is>
      </c>
      <c r="D9" s="7" t="n">
        <v>0.25</v>
      </c>
      <c r="E9" s="8">
        <f>$B$6*D9</f>
        <v/>
      </c>
      <c r="F9" s="8" t="n">
        <v>310</v>
      </c>
      <c r="G9" s="9">
        <f>INT(E9/F9)</f>
        <v/>
      </c>
    </row>
    <row r="10">
      <c r="A10" t="inlineStr">
        <is>
          <t>LFTB11</t>
        </is>
      </c>
      <c r="B10" t="inlineStr">
        <is>
          <t>Tesouro Selic</t>
        </is>
      </c>
      <c r="C10" t="inlineStr">
        <is>
          <t>Renda Fixa</t>
        </is>
      </c>
      <c r="D10" s="7" t="n">
        <v>0.25</v>
      </c>
      <c r="E10" s="8">
        <f>$B$6*D10</f>
        <v/>
      </c>
      <c r="F10" s="8" t="n">
        <v>110</v>
      </c>
      <c r="G10" s="9">
        <f>INT(E10/F10)</f>
        <v/>
      </c>
    </row>
    <row r="11">
      <c r="A11" t="inlineStr">
        <is>
          <t>BBAS3</t>
        </is>
      </c>
      <c r="B11" t="inlineStr">
        <is>
          <t>Banco do Brasil</t>
        </is>
      </c>
      <c r="C11" t="inlineStr">
        <is>
          <t>Bancos</t>
        </is>
      </c>
      <c r="D11" s="7" t="n">
        <v>0.0333</v>
      </c>
      <c r="E11" s="8">
        <f>$B$6*D11</f>
        <v/>
      </c>
      <c r="F11" s="8" t="n">
        <v>28.5</v>
      </c>
      <c r="G11" s="9">
        <f>INT(E11/F11)</f>
        <v/>
      </c>
    </row>
    <row r="12">
      <c r="A12" t="inlineStr">
        <is>
          <t>BRSR6</t>
        </is>
      </c>
      <c r="B12" t="inlineStr">
        <is>
          <t>Banrisul</t>
        </is>
      </c>
      <c r="C12" t="inlineStr">
        <is>
          <t>Bancos</t>
        </is>
      </c>
      <c r="D12" s="7" t="n">
        <v>0.0333</v>
      </c>
      <c r="E12" s="8">
        <f>$B$6*D12</f>
        <v/>
      </c>
      <c r="F12" s="8" t="n">
        <v>12.8</v>
      </c>
      <c r="G12" s="9">
        <f>INT(E12/F12)</f>
        <v/>
      </c>
    </row>
    <row r="13">
      <c r="A13" t="inlineStr">
        <is>
          <t>BMGB4</t>
        </is>
      </c>
      <c r="B13" t="inlineStr">
        <is>
          <t>Banco BMG</t>
        </is>
      </c>
      <c r="C13" t="inlineStr">
        <is>
          <t>Bancos</t>
        </is>
      </c>
      <c r="D13" s="7" t="n">
        <v>0.0333</v>
      </c>
      <c r="E13" s="8">
        <f>$B$6*D13</f>
        <v/>
      </c>
      <c r="F13" s="8" t="n">
        <v>6.45</v>
      </c>
      <c r="G13" s="9">
        <f>INT(E13/F13)</f>
        <v/>
      </c>
    </row>
    <row r="14">
      <c r="A14" t="inlineStr">
        <is>
          <t>PETR4</t>
        </is>
      </c>
      <c r="B14" t="inlineStr">
        <is>
          <t>Petrobras</t>
        </is>
      </c>
      <c r="C14" t="inlineStr">
        <is>
          <t>Petróleo</t>
        </is>
      </c>
      <c r="D14" s="7" t="n">
        <v>0.0333</v>
      </c>
      <c r="E14" s="8">
        <f>$B$6*D14</f>
        <v/>
      </c>
      <c r="F14" s="8" t="n">
        <v>38.2</v>
      </c>
      <c r="G14" s="9">
        <f>INT(E14/F14)</f>
        <v/>
      </c>
    </row>
    <row r="15">
      <c r="A15" t="inlineStr">
        <is>
          <t>PRIO3</t>
        </is>
      </c>
      <c r="B15" t="inlineStr">
        <is>
          <t>PetroRio</t>
        </is>
      </c>
      <c r="C15" t="inlineStr">
        <is>
          <t>Petróleo</t>
        </is>
      </c>
      <c r="D15" s="7" t="n">
        <v>0.0333</v>
      </c>
      <c r="E15" s="8">
        <f>$B$6*D15</f>
        <v/>
      </c>
      <c r="F15" s="8" t="n">
        <v>45.6</v>
      </c>
      <c r="G15" s="9">
        <f>INT(E15/F15)</f>
        <v/>
      </c>
    </row>
    <row r="16">
      <c r="A16" t="inlineStr">
        <is>
          <t>USIM5</t>
        </is>
      </c>
      <c r="B16" t="inlineStr">
        <is>
          <t>Usiminas</t>
        </is>
      </c>
      <c r="C16" t="inlineStr">
        <is>
          <t>Siderurgia</t>
        </is>
      </c>
      <c r="D16" s="7" t="n">
        <v>0.0333</v>
      </c>
      <c r="E16" s="8">
        <f>$B$6*D16</f>
        <v/>
      </c>
      <c r="F16" s="8" t="n">
        <v>7.85</v>
      </c>
      <c r="G16" s="9">
        <f>INT(E16/F16)</f>
        <v/>
      </c>
    </row>
    <row r="17">
      <c r="A17" t="inlineStr">
        <is>
          <t>GOAU4</t>
        </is>
      </c>
      <c r="B17" t="inlineStr">
        <is>
          <t>Gerdau Met</t>
        </is>
      </c>
      <c r="C17" t="inlineStr">
        <is>
          <t>Siderurgia</t>
        </is>
      </c>
      <c r="D17" s="7" t="n">
        <v>0.0333</v>
      </c>
      <c r="E17" s="8">
        <f>$B$6*D17</f>
        <v/>
      </c>
      <c r="F17" s="8" t="n">
        <v>11.2</v>
      </c>
      <c r="G17" s="9">
        <f>INT(E17/F17)</f>
        <v/>
      </c>
    </row>
    <row r="18">
      <c r="A18" t="inlineStr">
        <is>
          <t>BRAP4</t>
        </is>
      </c>
      <c r="B18" t="inlineStr">
        <is>
          <t>Bradespar</t>
        </is>
      </c>
      <c r="C18" t="inlineStr">
        <is>
          <t>Mineração</t>
        </is>
      </c>
      <c r="D18" s="7" t="n">
        <v>0.0333</v>
      </c>
      <c r="E18" s="8">
        <f>$B$6*D18</f>
        <v/>
      </c>
      <c r="F18" s="8" t="n">
        <v>22.3</v>
      </c>
      <c r="G18" s="9">
        <f>INT(E18/F18)</f>
        <v/>
      </c>
    </row>
    <row r="19">
      <c r="A19" t="inlineStr">
        <is>
          <t>LOGG3</t>
        </is>
      </c>
      <c r="B19" t="inlineStr">
        <is>
          <t>Log Commercial</t>
        </is>
      </c>
      <c r="C19" t="inlineStr">
        <is>
          <t>Logística</t>
        </is>
      </c>
      <c r="D19" s="7" t="n">
        <v>0.0333</v>
      </c>
      <c r="E19" s="8">
        <f>$B$6*D19</f>
        <v/>
      </c>
      <c r="F19" s="8" t="n">
        <v>18.9</v>
      </c>
      <c r="G19" s="9">
        <f>INT(E19/F19)</f>
        <v/>
      </c>
    </row>
    <row r="20">
      <c r="A20" t="inlineStr">
        <is>
          <t>DEXP3</t>
        </is>
      </c>
      <c r="B20" t="inlineStr">
        <is>
          <t>Dexxos</t>
        </is>
      </c>
      <c r="C20" t="inlineStr">
        <is>
          <t>Logística</t>
        </is>
      </c>
      <c r="D20" s="7" t="n">
        <v>0.0333</v>
      </c>
      <c r="E20" s="8">
        <f>$B$6*D20</f>
        <v/>
      </c>
      <c r="F20" s="8" t="n">
        <v>15.4</v>
      </c>
      <c r="G20" s="9">
        <f>INT(E20/F20)</f>
        <v/>
      </c>
    </row>
    <row r="21">
      <c r="A21" t="inlineStr">
        <is>
          <t>SMTO3</t>
        </is>
      </c>
      <c r="B21" t="inlineStr">
        <is>
          <t>São Martinho</t>
        </is>
      </c>
      <c r="C21" t="inlineStr">
        <is>
          <t>Agronegócio</t>
        </is>
      </c>
      <c r="D21" s="7" t="n">
        <v>0.0333</v>
      </c>
      <c r="E21" s="8">
        <f>$B$6*D21</f>
        <v/>
      </c>
      <c r="F21" s="8" t="n">
        <v>32.7</v>
      </c>
      <c r="G21" s="9">
        <f>INT(E21/F21)</f>
        <v/>
      </c>
    </row>
    <row r="22">
      <c r="A22" t="inlineStr">
        <is>
          <t>TASA4</t>
        </is>
      </c>
      <c r="B22" t="inlineStr">
        <is>
          <t>Taurus</t>
        </is>
      </c>
      <c r="C22" t="inlineStr">
        <is>
          <t>Defesa</t>
        </is>
      </c>
      <c r="D22" s="7" t="n">
        <v>0.0333</v>
      </c>
      <c r="E22" s="8">
        <f>$B$6*D22</f>
        <v/>
      </c>
      <c r="F22" s="8" t="n">
        <v>9.15</v>
      </c>
      <c r="G22" s="9">
        <f>INT(E22/F22)</f>
        <v/>
      </c>
    </row>
    <row r="23">
      <c r="A23" t="inlineStr">
        <is>
          <t>EUCA4</t>
        </is>
      </c>
      <c r="B23" t="inlineStr">
        <is>
          <t>Eucatex</t>
        </is>
      </c>
      <c r="C23" t="inlineStr">
        <is>
          <t>Madeira</t>
        </is>
      </c>
      <c r="D23" s="7" t="n">
        <v>0.0333</v>
      </c>
      <c r="E23" s="8">
        <f>$B$6*D23</f>
        <v/>
      </c>
      <c r="F23" s="8" t="n">
        <v>4.25</v>
      </c>
      <c r="G23" s="9">
        <f>INT(E23/F23)</f>
        <v/>
      </c>
    </row>
    <row r="24">
      <c r="A24" t="inlineStr">
        <is>
          <t>ALLD3</t>
        </is>
      </c>
      <c r="B24" t="inlineStr">
        <is>
          <t>Allied</t>
        </is>
      </c>
      <c r="C24" t="inlineStr">
        <is>
          <t>Educação</t>
        </is>
      </c>
      <c r="D24" s="7" t="n">
        <v>0.0333</v>
      </c>
      <c r="E24" s="8">
        <f>$B$6*D24</f>
        <v/>
      </c>
      <c r="F24" s="8" t="n">
        <v>8.9</v>
      </c>
      <c r="G24" s="9">
        <f>INT(E24/F24)</f>
        <v/>
      </c>
    </row>
    <row r="25">
      <c r="A25" t="inlineStr">
        <is>
          <t>ROMI3</t>
        </is>
      </c>
      <c r="B25" t="inlineStr">
        <is>
          <t>Romi</t>
        </is>
      </c>
      <c r="C25" t="inlineStr">
        <is>
          <t>Máquinas</t>
        </is>
      </c>
      <c r="D25" s="7" t="n">
        <v>0.0333</v>
      </c>
      <c r="E25" s="8">
        <f>$B$6*D25</f>
        <v/>
      </c>
      <c r="F25" s="8" t="n">
        <v>24.5</v>
      </c>
      <c r="G25" s="9">
        <f>INT(E25/F25)</f>
        <v/>
      </c>
    </row>
    <row r="26">
      <c r="A26" s="2" t="inlineStr">
        <is>
          <t>TOTAL</t>
        </is>
      </c>
      <c r="D26" s="10">
        <f>SUM(D9:D25)</f>
        <v/>
      </c>
      <c r="E26" s="11">
        <f>SUM(E9:E25)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12" t="inlineStr">
        <is>
          <t>📊 CARTEIRA MODERADA - OUTUBRO/2025</t>
        </is>
      </c>
    </row>
    <row r="3">
      <c r="A3" s="2" t="inlineStr">
        <is>
          <t>Perfil: Balanceada (25% ações)</t>
        </is>
      </c>
    </row>
    <row r="4">
      <c r="A4" s="3" t="inlineStr">
        <is>
          <t>Risco: Médio | Retorno Esperado: 10-15% ao ano</t>
        </is>
      </c>
    </row>
    <row r="6">
      <c r="A6" s="4" t="inlineStr">
        <is>
          <t>💰 VALOR TOTAL A INVESTIR (R$):</t>
        </is>
      </c>
      <c r="B6" s="5" t="n">
        <v>20000</v>
      </c>
    </row>
    <row r="8">
      <c r="A8" s="6" t="inlineStr">
        <is>
          <t>Ticker</t>
        </is>
      </c>
      <c r="B8" s="6" t="inlineStr">
        <is>
          <t>Nome</t>
        </is>
      </c>
      <c r="C8" s="6" t="inlineStr">
        <is>
          <t>Setor</t>
        </is>
      </c>
      <c r="D8" s="6" t="inlineStr">
        <is>
          <t>Alocação %</t>
        </is>
      </c>
      <c r="E8" s="6" t="inlineStr">
        <is>
          <t>Valor (R$)</t>
        </is>
      </c>
      <c r="F8" s="6" t="inlineStr">
        <is>
          <t>Preço (R$)</t>
        </is>
      </c>
      <c r="G8" s="6" t="inlineStr">
        <is>
          <t>Qtd Aprox</t>
        </is>
      </c>
    </row>
    <row r="9">
      <c r="A9" t="inlineStr">
        <is>
          <t>LFTB11</t>
        </is>
      </c>
      <c r="B9" t="inlineStr">
        <is>
          <t>Tesouro Selic</t>
        </is>
      </c>
      <c r="C9" t="inlineStr">
        <is>
          <t>Renda Fixa</t>
        </is>
      </c>
      <c r="D9" s="7" t="n">
        <v>0.5</v>
      </c>
      <c r="E9" s="8">
        <f>$B$6*D9</f>
        <v/>
      </c>
      <c r="F9" s="8" t="n">
        <v>110</v>
      </c>
      <c r="G9" s="9">
        <f>INT(E9/F9)</f>
        <v/>
      </c>
    </row>
    <row r="10">
      <c r="A10" t="inlineStr">
        <is>
          <t>IVVB11</t>
        </is>
      </c>
      <c r="B10" t="inlineStr">
        <is>
          <t>iShares S&amp;P 500</t>
        </is>
      </c>
      <c r="C10" t="inlineStr">
        <is>
          <t>Internacional</t>
        </is>
      </c>
      <c r="D10" s="7" t="n">
        <v>0.25</v>
      </c>
      <c r="E10" s="8">
        <f>$B$6*D10</f>
        <v/>
      </c>
      <c r="F10" s="8" t="n">
        <v>310</v>
      </c>
      <c r="G10" s="9">
        <f>INT(E10/F10)</f>
        <v/>
      </c>
    </row>
    <row r="11">
      <c r="A11" t="inlineStr">
        <is>
          <t>BBAS3</t>
        </is>
      </c>
      <c r="B11" t="inlineStr">
        <is>
          <t>Banco do Brasil</t>
        </is>
      </c>
      <c r="C11" t="inlineStr">
        <is>
          <t>Bancos</t>
        </is>
      </c>
      <c r="D11" s="7" t="n">
        <v>0.0167</v>
      </c>
      <c r="E11" s="8">
        <f>$B$6*D11</f>
        <v/>
      </c>
      <c r="F11" s="8" t="n">
        <v>28.5</v>
      </c>
      <c r="G11" s="9">
        <f>INT(E11/F11)</f>
        <v/>
      </c>
    </row>
    <row r="12">
      <c r="A12" t="inlineStr">
        <is>
          <t>BRSR6</t>
        </is>
      </c>
      <c r="B12" t="inlineStr">
        <is>
          <t>Banrisul</t>
        </is>
      </c>
      <c r="C12" t="inlineStr">
        <is>
          <t>Bancos</t>
        </is>
      </c>
      <c r="D12" s="7" t="n">
        <v>0.0167</v>
      </c>
      <c r="E12" s="8">
        <f>$B$6*D12</f>
        <v/>
      </c>
      <c r="F12" s="8" t="n">
        <v>12.8</v>
      </c>
      <c r="G12" s="9">
        <f>INT(E12/F12)</f>
        <v/>
      </c>
    </row>
    <row r="13">
      <c r="A13" t="inlineStr">
        <is>
          <t>BMGB4</t>
        </is>
      </c>
      <c r="B13" t="inlineStr">
        <is>
          <t>Banco BMG</t>
        </is>
      </c>
      <c r="C13" t="inlineStr">
        <is>
          <t>Bancos</t>
        </is>
      </c>
      <c r="D13" s="7" t="n">
        <v>0.0167</v>
      </c>
      <c r="E13" s="8">
        <f>$B$6*D13</f>
        <v/>
      </c>
      <c r="F13" s="8" t="n">
        <v>6.45</v>
      </c>
      <c r="G13" s="9">
        <f>INT(E13/F13)</f>
        <v/>
      </c>
    </row>
    <row r="14">
      <c r="A14" t="inlineStr">
        <is>
          <t>PETR4</t>
        </is>
      </c>
      <c r="B14" t="inlineStr">
        <is>
          <t>Petrobras</t>
        </is>
      </c>
      <c r="C14" t="inlineStr">
        <is>
          <t>Petróleo</t>
        </is>
      </c>
      <c r="D14" s="7" t="n">
        <v>0.0167</v>
      </c>
      <c r="E14" s="8">
        <f>$B$6*D14</f>
        <v/>
      </c>
      <c r="F14" s="8" t="n">
        <v>38.2</v>
      </c>
      <c r="G14" s="9">
        <f>INT(E14/F14)</f>
        <v/>
      </c>
    </row>
    <row r="15">
      <c r="A15" t="inlineStr">
        <is>
          <t>PRIO3</t>
        </is>
      </c>
      <c r="B15" t="inlineStr">
        <is>
          <t>PetroRio</t>
        </is>
      </c>
      <c r="C15" t="inlineStr">
        <is>
          <t>Petróleo</t>
        </is>
      </c>
      <c r="D15" s="7" t="n">
        <v>0.0167</v>
      </c>
      <c r="E15" s="8">
        <f>$B$6*D15</f>
        <v/>
      </c>
      <c r="F15" s="8" t="n">
        <v>45.6</v>
      </c>
      <c r="G15" s="9">
        <f>INT(E15/F15)</f>
        <v/>
      </c>
    </row>
    <row r="16">
      <c r="A16" t="inlineStr">
        <is>
          <t>USIM5</t>
        </is>
      </c>
      <c r="B16" t="inlineStr">
        <is>
          <t>Usiminas</t>
        </is>
      </c>
      <c r="C16" t="inlineStr">
        <is>
          <t>Siderurgia</t>
        </is>
      </c>
      <c r="D16" s="7" t="n">
        <v>0.0167</v>
      </c>
      <c r="E16" s="8">
        <f>$B$6*D16</f>
        <v/>
      </c>
      <c r="F16" s="8" t="n">
        <v>7.85</v>
      </c>
      <c r="G16" s="9">
        <f>INT(E16/F16)</f>
        <v/>
      </c>
    </row>
    <row r="17">
      <c r="A17" t="inlineStr">
        <is>
          <t>GOAU4</t>
        </is>
      </c>
      <c r="B17" t="inlineStr">
        <is>
          <t>Gerdau Met</t>
        </is>
      </c>
      <c r="C17" t="inlineStr">
        <is>
          <t>Siderurgia</t>
        </is>
      </c>
      <c r="D17" s="7" t="n">
        <v>0.0167</v>
      </c>
      <c r="E17" s="8">
        <f>$B$6*D17</f>
        <v/>
      </c>
      <c r="F17" s="8" t="n">
        <v>11.2</v>
      </c>
      <c r="G17" s="9">
        <f>INT(E17/F17)</f>
        <v/>
      </c>
    </row>
    <row r="18">
      <c r="A18" t="inlineStr">
        <is>
          <t>BRAP4</t>
        </is>
      </c>
      <c r="B18" t="inlineStr">
        <is>
          <t>Bradespar</t>
        </is>
      </c>
      <c r="C18" t="inlineStr">
        <is>
          <t>Mineração</t>
        </is>
      </c>
      <c r="D18" s="7" t="n">
        <v>0.0167</v>
      </c>
      <c r="E18" s="8">
        <f>$B$6*D18</f>
        <v/>
      </c>
      <c r="F18" s="8" t="n">
        <v>22.3</v>
      </c>
      <c r="G18" s="9">
        <f>INT(E18/F18)</f>
        <v/>
      </c>
    </row>
    <row r="19">
      <c r="A19" t="inlineStr">
        <is>
          <t>LOGG3</t>
        </is>
      </c>
      <c r="B19" t="inlineStr">
        <is>
          <t>Log Commercial</t>
        </is>
      </c>
      <c r="C19" t="inlineStr">
        <is>
          <t>Logística</t>
        </is>
      </c>
      <c r="D19" s="7" t="n">
        <v>0.0167</v>
      </c>
      <c r="E19" s="8">
        <f>$B$6*D19</f>
        <v/>
      </c>
      <c r="F19" s="8" t="n">
        <v>18.9</v>
      </c>
      <c r="G19" s="9">
        <f>INT(E19/F19)</f>
        <v/>
      </c>
    </row>
    <row r="20">
      <c r="A20" t="inlineStr">
        <is>
          <t>DEXP3</t>
        </is>
      </c>
      <c r="B20" t="inlineStr">
        <is>
          <t>Dexxos</t>
        </is>
      </c>
      <c r="C20" t="inlineStr">
        <is>
          <t>Logística</t>
        </is>
      </c>
      <c r="D20" s="7" t="n">
        <v>0.0167</v>
      </c>
      <c r="E20" s="8">
        <f>$B$6*D20</f>
        <v/>
      </c>
      <c r="F20" s="8" t="n">
        <v>15.4</v>
      </c>
      <c r="G20" s="9">
        <f>INT(E20/F20)</f>
        <v/>
      </c>
    </row>
    <row r="21">
      <c r="A21" t="inlineStr">
        <is>
          <t>SMTO3</t>
        </is>
      </c>
      <c r="B21" t="inlineStr">
        <is>
          <t>São Martinho</t>
        </is>
      </c>
      <c r="C21" t="inlineStr">
        <is>
          <t>Agronegócio</t>
        </is>
      </c>
      <c r="D21" s="7" t="n">
        <v>0.0167</v>
      </c>
      <c r="E21" s="8">
        <f>$B$6*D21</f>
        <v/>
      </c>
      <c r="F21" s="8" t="n">
        <v>32.7</v>
      </c>
      <c r="G21" s="9">
        <f>INT(E21/F21)</f>
        <v/>
      </c>
    </row>
    <row r="22">
      <c r="A22" t="inlineStr">
        <is>
          <t>TASA4</t>
        </is>
      </c>
      <c r="B22" t="inlineStr">
        <is>
          <t>Taurus</t>
        </is>
      </c>
      <c r="C22" t="inlineStr">
        <is>
          <t>Defesa</t>
        </is>
      </c>
      <c r="D22" s="7" t="n">
        <v>0.0167</v>
      </c>
      <c r="E22" s="8">
        <f>$B$6*D22</f>
        <v/>
      </c>
      <c r="F22" s="8" t="n">
        <v>9.15</v>
      </c>
      <c r="G22" s="9">
        <f>INT(E22/F22)</f>
        <v/>
      </c>
    </row>
    <row r="23">
      <c r="A23" t="inlineStr">
        <is>
          <t>EUCA4</t>
        </is>
      </c>
      <c r="B23" t="inlineStr">
        <is>
          <t>Eucatex</t>
        </is>
      </c>
      <c r="C23" t="inlineStr">
        <is>
          <t>Madeira</t>
        </is>
      </c>
      <c r="D23" s="7" t="n">
        <v>0.0167</v>
      </c>
      <c r="E23" s="8">
        <f>$B$6*D23</f>
        <v/>
      </c>
      <c r="F23" s="8" t="n">
        <v>4.25</v>
      </c>
      <c r="G23" s="9">
        <f>INT(E23/F23)</f>
        <v/>
      </c>
    </row>
    <row r="24">
      <c r="A24" t="inlineStr">
        <is>
          <t>ALLD3</t>
        </is>
      </c>
      <c r="B24" t="inlineStr">
        <is>
          <t>Allied</t>
        </is>
      </c>
      <c r="C24" t="inlineStr">
        <is>
          <t>Educação</t>
        </is>
      </c>
      <c r="D24" s="7" t="n">
        <v>0.0167</v>
      </c>
      <c r="E24" s="8">
        <f>$B$6*D24</f>
        <v/>
      </c>
      <c r="F24" s="8" t="n">
        <v>8.9</v>
      </c>
      <c r="G24" s="9">
        <f>INT(E24/F24)</f>
        <v/>
      </c>
    </row>
    <row r="25">
      <c r="A25" t="inlineStr">
        <is>
          <t>ROMI3</t>
        </is>
      </c>
      <c r="B25" t="inlineStr">
        <is>
          <t>Romi</t>
        </is>
      </c>
      <c r="C25" t="inlineStr">
        <is>
          <t>Máquinas</t>
        </is>
      </c>
      <c r="D25" s="7" t="n">
        <v>0.0167</v>
      </c>
      <c r="E25" s="8">
        <f>$B$6*D25</f>
        <v/>
      </c>
      <c r="F25" s="8" t="n">
        <v>24.5</v>
      </c>
      <c r="G25" s="9">
        <f>INT(E25/F25)</f>
        <v/>
      </c>
    </row>
    <row r="26">
      <c r="A26" s="2" t="inlineStr">
        <is>
          <t>TOTAL</t>
        </is>
      </c>
      <c r="D26" s="10">
        <f>SUM(D9:D25)</f>
        <v/>
      </c>
      <c r="E26" s="11">
        <f>SUM(E9:E25)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13" t="inlineStr">
        <is>
          <t>🛡️ CARTEIRA CONSERVADORA - OUTUBRO/2025</t>
        </is>
      </c>
    </row>
    <row r="3">
      <c r="A3" s="2" t="inlineStr">
        <is>
          <t>Perfil: Baixa exposição a ações (10%)</t>
        </is>
      </c>
    </row>
    <row r="4">
      <c r="A4" s="3" t="inlineStr">
        <is>
          <t>Risco: Baixo | Retorno Esperado: 8-12% ao ano</t>
        </is>
      </c>
    </row>
    <row r="6">
      <c r="A6" s="4" t="inlineStr">
        <is>
          <t>💰 VALOR TOTAL A INVESTIR (R$):</t>
        </is>
      </c>
      <c r="B6" s="5" t="n">
        <v>15000</v>
      </c>
    </row>
    <row r="8">
      <c r="A8" s="6" t="inlineStr">
        <is>
          <t>Ticker</t>
        </is>
      </c>
      <c r="B8" s="6" t="inlineStr">
        <is>
          <t>Nome</t>
        </is>
      </c>
      <c r="C8" s="6" t="inlineStr">
        <is>
          <t>Setor</t>
        </is>
      </c>
      <c r="D8" s="6" t="inlineStr">
        <is>
          <t>Alocação %</t>
        </is>
      </c>
      <c r="E8" s="6" t="inlineStr">
        <is>
          <t>Valor (R$)</t>
        </is>
      </c>
      <c r="F8" s="6" t="inlineStr">
        <is>
          <t>Preço (R$)</t>
        </is>
      </c>
      <c r="G8" s="6" t="inlineStr">
        <is>
          <t>Qtd Aprox</t>
        </is>
      </c>
    </row>
    <row r="9">
      <c r="A9" t="inlineStr">
        <is>
          <t>LFTB11</t>
        </is>
      </c>
      <c r="B9" t="inlineStr">
        <is>
          <t>Tesouro Selic</t>
        </is>
      </c>
      <c r="C9" t="inlineStr">
        <is>
          <t>Renda Fixa</t>
        </is>
      </c>
      <c r="D9" s="7" t="n">
        <v>0.7</v>
      </c>
      <c r="E9" s="8">
        <f>$B$6*D9</f>
        <v/>
      </c>
      <c r="F9" s="8" t="n">
        <v>110</v>
      </c>
      <c r="G9" s="9">
        <f>INT(E9/F9)</f>
        <v/>
      </c>
    </row>
    <row r="10">
      <c r="A10" t="inlineStr">
        <is>
          <t>IVVB11</t>
        </is>
      </c>
      <c r="B10" t="inlineStr">
        <is>
          <t>iShares S&amp;P 500</t>
        </is>
      </c>
      <c r="C10" t="inlineStr">
        <is>
          <t>Internacional</t>
        </is>
      </c>
      <c r="D10" s="7" t="n">
        <v>0.2</v>
      </c>
      <c r="E10" s="8">
        <f>$B$6*D10</f>
        <v/>
      </c>
      <c r="F10" s="8" t="n">
        <v>310</v>
      </c>
      <c r="G10" s="9">
        <f>INT(E10/F10)</f>
        <v/>
      </c>
    </row>
    <row r="11">
      <c r="A11" t="inlineStr">
        <is>
          <t>BBAS3</t>
        </is>
      </c>
      <c r="B11" t="inlineStr">
        <is>
          <t>Banco do Brasil</t>
        </is>
      </c>
      <c r="C11" t="inlineStr">
        <is>
          <t>Bancos</t>
        </is>
      </c>
      <c r="D11" s="7" t="n">
        <v>0.02</v>
      </c>
      <c r="E11" s="8">
        <f>$B$6*D11</f>
        <v/>
      </c>
      <c r="F11" s="8" t="n">
        <v>28.5</v>
      </c>
      <c r="G11" s="9">
        <f>INT(E11/F11)</f>
        <v/>
      </c>
    </row>
    <row r="12">
      <c r="A12" t="inlineStr">
        <is>
          <t>ITUB4</t>
        </is>
      </c>
      <c r="B12" t="inlineStr">
        <is>
          <t>Itaú Unibanco</t>
        </is>
      </c>
      <c r="C12" t="inlineStr">
        <is>
          <t>Bancos</t>
        </is>
      </c>
      <c r="D12" s="7" t="n">
        <v>0.02</v>
      </c>
      <c r="E12" s="8">
        <f>$B$6*D12</f>
        <v/>
      </c>
      <c r="F12" s="8" t="n">
        <v>32.5</v>
      </c>
      <c r="G12" s="9">
        <f>INT(E12/F12)</f>
        <v/>
      </c>
    </row>
    <row r="13">
      <c r="A13" t="inlineStr">
        <is>
          <t>PETR4</t>
        </is>
      </c>
      <c r="B13" t="inlineStr">
        <is>
          <t>Petrobras</t>
        </is>
      </c>
      <c r="C13" t="inlineStr">
        <is>
          <t>Petróleo</t>
        </is>
      </c>
      <c r="D13" s="7" t="n">
        <v>0.02</v>
      </c>
      <c r="E13" s="8">
        <f>$B$6*D13</f>
        <v/>
      </c>
      <c r="F13" s="8" t="n">
        <v>38.2</v>
      </c>
      <c r="G13" s="9">
        <f>INT(E13/F13)</f>
        <v/>
      </c>
    </row>
    <row r="14">
      <c r="A14" t="inlineStr">
        <is>
          <t>VALE3</t>
        </is>
      </c>
      <c r="B14" t="inlineStr">
        <is>
          <t>Vale</t>
        </is>
      </c>
      <c r="C14" t="inlineStr">
        <is>
          <t>Mineração</t>
        </is>
      </c>
      <c r="D14" s="7" t="n">
        <v>0.02</v>
      </c>
      <c r="E14" s="8">
        <f>$B$6*D14</f>
        <v/>
      </c>
      <c r="F14" s="8" t="n">
        <v>65.2</v>
      </c>
      <c r="G14" s="9">
        <f>INT(E14/F14)</f>
        <v/>
      </c>
    </row>
    <row r="15">
      <c r="A15" t="inlineStr">
        <is>
          <t>WEGE3</t>
        </is>
      </c>
      <c r="B15" t="inlineStr">
        <is>
          <t>WEG</t>
        </is>
      </c>
      <c r="C15" t="inlineStr">
        <is>
          <t>Equipamentos</t>
        </is>
      </c>
      <c r="D15" s="7" t="n">
        <v>0.02</v>
      </c>
      <c r="E15" s="8">
        <f>$B$6*D15</f>
        <v/>
      </c>
      <c r="F15" s="8" t="n">
        <v>42.8</v>
      </c>
      <c r="G15" s="9">
        <f>INT(E15/F15)</f>
        <v/>
      </c>
    </row>
    <row r="16">
      <c r="A16" s="2" t="inlineStr">
        <is>
          <t>TOTAL</t>
        </is>
      </c>
      <c r="D16" s="10">
        <f>SUM(D9:D15)</f>
        <v/>
      </c>
      <c r="E16" s="11">
        <f>SUM(E9:E15)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2025-10-16T18:31:06Z</dcterms:created>
  <dcterms:modified xmlns:dcterms="http://purl.org/dc/terms/" xmlns:xsi="http://www.w3.org/2001/XMLSchema-instance" xsi:type="dcterms:W3CDTF">2025-10-16T18:31:06Z</dcterms:modified>
</cp:coreProperties>
</file>